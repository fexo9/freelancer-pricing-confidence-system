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- Read First" sheetId="1" state="visible" r:id="rId1"/>
    <sheet xmlns:r="http://schemas.openxmlformats.org/officeDocument/2006/relationships" name="Rate Calculator (SAMPLE)" sheetId="2" state="visible" r:id="rId2"/>
    <sheet xmlns:r="http://schemas.openxmlformats.org/officeDocument/2006/relationships" name="Value Tiers (SAMPL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5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name val="Calibri"/>
      <b val="1"/>
      <color rgb="004C1D95"/>
      <sz val="16"/>
    </font>
    <font>
      <name val="Calibri"/>
      <i val="1"/>
      <color rgb="005B5B7A"/>
      <sz val="10"/>
    </font>
    <font>
      <name val="Calibri"/>
      <b val="1"/>
      <color rgb="004C1D95"/>
      <sz val="12"/>
    </font>
    <font>
      <name val="Calibri"/>
      <b val="1"/>
      <color rgb="001E1B2E"/>
      <sz val="11"/>
    </font>
    <font>
      <name val="Calibri"/>
      <color rgb="001E1B2E"/>
      <sz val="11"/>
    </font>
    <font>
      <name val="Calibri"/>
      <b val="1"/>
      <color rgb="004C1D95"/>
      <sz val="13"/>
    </font>
    <font>
      <name val="Calibri"/>
      <b val="1"/>
      <color rgb="00FFFFFF"/>
      <sz val="16"/>
    </font>
    <font>
      <name val="Calibri"/>
      <b val="1"/>
      <color rgb="00991B1B"/>
      <sz val="11"/>
    </font>
    <font>
      <b val="1"/>
      <color rgb="00FF0000"/>
    </font>
    <font>
      <name val="Calibri"/>
      <b val="1"/>
      <color rgb="004C1D95"/>
      <sz val="10"/>
    </font>
    <font>
      <name val="Calibri"/>
      <color rgb="005B5B7A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6D28D9"/>
      </patternFill>
    </fill>
  </fills>
  <borders count="2">
    <border>
      <left/>
      <right/>
      <top/>
      <bottom/>
      <diagonal/>
    </border>
    <border>
      <left style="thin">
        <color rgb="00C4B5FD"/>
      </left>
      <right style="thin">
        <color rgb="00C4B5FD"/>
      </right>
      <top style="thin">
        <color rgb="00C4B5FD"/>
      </top>
      <bottom style="thin">
        <color rgb="00C4B5F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4" fontId="8" fillId="2" borderId="1" applyAlignment="1" pivotButton="0" quotePrefix="0" xfId="0">
      <alignment horizontal="left" vertical="center"/>
    </xf>
    <xf numFmtId="0" fontId="12" fillId="0" borderId="0" pivotButton="0" quotePrefix="0" xfId="0"/>
    <xf numFmtId="3" fontId="8" fillId="2" borderId="1" applyAlignment="1" pivotButton="0" quotePrefix="0" xfId="0">
      <alignment horizontal="left" vertical="center"/>
    </xf>
    <xf numFmtId="9" fontId="8" fillId="2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4" fontId="10" fillId="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165" fontId="8" fillId="2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FREE SAMPLE — Freelancer Pricing Confidence System (v3.0)</t>
        </is>
      </c>
    </row>
    <row r="2" ht="22" customHeight="1">
      <c r="A2" s="2" t="inlineStr"/>
    </row>
    <row r="3" ht="22" customHeight="1">
      <c r="A3" s="2" t="inlineStr">
        <is>
          <t>This is a FREE SAMPLE. All numbers in this file are EXAMPLE data (fictional).</t>
        </is>
      </c>
    </row>
    <row r="4" ht="22" customHeight="1">
      <c r="A4" s="2" t="inlineStr">
        <is>
          <t>It contains 2 of the full kit's 5 sheets: Rate Calculator + Value Tiers.</t>
        </is>
      </c>
    </row>
    <row r="5" ht="22" customHeight="1">
      <c r="A5" s="2" t="inlineStr"/>
    </row>
    <row r="6" ht="22" customHeight="1">
      <c r="A6" s="3" t="inlineStr">
        <is>
          <t>THE FULL KIT (45 files, $19 one-time, Commercial license):</t>
        </is>
      </c>
    </row>
    <row r="7" ht="22" customHeight="1">
      <c r="A7" s="2" t="inlineStr">
        <is>
          <t>- 11 Excel workbooks (EN / ZH / FR / ES / AR / RU / DE / JA / PT / HI / IT), 5 sheets each</t>
        </is>
      </c>
    </row>
    <row r="8" ht="22" customHeight="1">
      <c r="A8" s="2" t="inlineStr">
        <is>
          <t>- Objection Scripts + Discount Guard Rules in all 11 languages</t>
        </is>
      </c>
    </row>
    <row r="9" ht="22" customHeight="1">
      <c r="A9" s="2" t="inlineStr">
        <is>
          <t>- Quick-start guides (EN + AR), worked examples (EN + AR), FAQs (EN + AR), limits notes, inventory</t>
        </is>
      </c>
    </row>
    <row r="10" ht="22" customHeight="1">
      <c r="A10" s="2" t="inlineStr">
        <is>
          <t>- Quote Checklist + Discount Guard + Objection Scripts sheets (not in this sample)</t>
        </is>
      </c>
    </row>
    <row r="11" ht="22" customHeight="1">
      <c r="A11" s="2" t="inlineStr"/>
    </row>
    <row r="12" ht="22" customHeight="1">
      <c r="A12" s="3" t="inlineStr">
        <is>
          <t>BUY:</t>
        </is>
      </c>
    </row>
    <row r="13" ht="22" customHeight="1">
      <c r="A13" s="2" t="inlineStr">
        <is>
          <t>Getly: https://www.getly.store/product/freelancer-pricing-confidence-system-5-language-pricing-decision-kit-en-fr-es-it</t>
        </is>
      </c>
    </row>
    <row r="14" ht="22" customHeight="1">
      <c r="A14" s="2" t="inlineStr">
        <is>
          <t>SellApp: https://digitaltoolkitstore.sell.app/product/freelancer-pricing-confidence-system-5-language-pricing-decision-kit</t>
        </is>
      </c>
    </row>
    <row r="15" ht="22" customHeight="1">
      <c r="A15" s="2" t="inlineStr"/>
    </row>
    <row r="16" ht="22" customHeight="1">
      <c r="A16" s="2" t="inlineStr">
        <is>
          <t>Try it: on the Rate Calculator sheet, change the yellow EXAMPLE inputs to your own numbers.</t>
        </is>
      </c>
    </row>
    <row r="17" ht="22" customHeight="1">
      <c r="A17" s="2" t="inlineStr">
        <is>
          <t>The floor recomputes. That is the whole kit in miniature.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4" customWidth="1" min="1" max="1"/>
    <col width="22" customWidth="1" min="2" max="2"/>
    <col width="58" customWidth="1" min="3" max="3"/>
  </cols>
  <sheetData>
    <row r="1">
      <c r="A1" s="4" t="inlineStr">
        <is>
          <t>Rate Calculator — SAMPLE (EXAMPLE data, fictional)</t>
        </is>
      </c>
    </row>
    <row r="2">
      <c r="A2" s="5" t="inlineStr">
        <is>
          <t>FREE SAMPLE — example inputs below are fictional. Replace the yellow cells with your own numbers.</t>
        </is>
      </c>
    </row>
    <row r="3">
      <c r="A3" s="6" t="inlineStr">
        <is>
          <t>YOUR INPUTS (edit the yellow cells)</t>
        </is>
      </c>
    </row>
    <row r="4">
      <c r="A4" s="7" t="inlineStr">
        <is>
          <t>Currency symbol (display only)</t>
        </is>
      </c>
      <c r="B4" s="8" t="inlineStr">
        <is>
          <t>$</t>
        </is>
      </c>
    </row>
    <row r="5">
      <c r="A5" s="7" t="inlineStr">
        <is>
          <t>Monthly business costs (rent, tools, subscriptions, insurance…)</t>
        </is>
      </c>
      <c r="B5" s="9" t="n">
        <v>1200</v>
      </c>
      <c r="C5" s="10" t="inlineStr">
        <is>
          <t>EXAMPLE</t>
        </is>
      </c>
    </row>
    <row r="6">
      <c r="A6" s="7" t="inlineStr">
        <is>
          <t>Target monthly take-home income</t>
        </is>
      </c>
      <c r="B6" s="9" t="n">
        <v>5000</v>
      </c>
      <c r="C6" s="10" t="inlineStr">
        <is>
          <t>EXAMPLE</t>
        </is>
      </c>
    </row>
    <row r="7">
      <c r="A7" s="7" t="inlineStr">
        <is>
          <t>Billable hours available per month</t>
        </is>
      </c>
      <c r="B7" s="11" t="n">
        <v>140</v>
      </c>
      <c r="C7" s="10" t="inlineStr">
        <is>
          <t>EXAMPLE</t>
        </is>
      </c>
    </row>
    <row r="8">
      <c r="A8" s="7" t="inlineStr">
        <is>
          <t>Utilization rate — % of available hours you actually bill</t>
        </is>
      </c>
      <c r="B8" s="12" t="n">
        <v>0.65</v>
      </c>
      <c r="C8" s="10" t="inlineStr">
        <is>
          <t>EXAMPLE</t>
        </is>
      </c>
    </row>
    <row r="9"/>
    <row r="10">
      <c r="A10" s="7" t="inlineStr">
        <is>
          <t>Billable-equivalent hours</t>
        </is>
      </c>
      <c r="B10" s="13">
        <f>IF(OR(B7&lt;=0,B8&lt;=0,B8&gt;1),"",ROUND(B7*B8,1))</f>
        <v/>
      </c>
    </row>
    <row r="11"/>
    <row r="12">
      <c r="A12" s="14" t="inlineStr">
        <is>
          <t>FLOOR HOURLY RATE — never quote below this</t>
        </is>
      </c>
      <c r="B12" s="15">
        <f>IF(OR(B5&lt;0,B6&lt;0,B7&lt;=0,B8&lt;=0,B8&gt;1),"",ROUND((B5+B6)/(B7*B8),2))</f>
        <v/>
      </c>
    </row>
    <row r="13">
      <c r="A13" s="16">
        <f>IF(OR(B5&lt;0,B6&lt;0,B7&lt;0,B8&lt;0),"⚠ Check inputs — negative values are not valid here.",IF(B8&gt;1,"⚠ Utilization above 100% is impossible — check your input.",""))</f>
        <v/>
      </c>
    </row>
    <row r="14"/>
    <row r="15">
      <c r="A15" s="6" t="inlineStr">
        <is>
          <t>How this is calculated</t>
        </is>
      </c>
    </row>
    <row r="16">
      <c r="A16" s="17" t="inlineStr">
        <is>
          <t>Floor = (monthly costs + target income) ÷ (billable hours × utilization). If you charge below the floor for the whole month, the month loses money. That is arithmetic, not opinion.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66" customWidth="1" min="4" max="4"/>
    <col width="13" customWidth="1" min="5" max="5"/>
  </cols>
  <sheetData>
    <row r="1">
      <c r="A1" s="4" t="inlineStr">
        <is>
          <t>Value Tiers — SAMPLE (EXAMPLE data, fictional)</t>
        </is>
      </c>
    </row>
    <row r="2">
      <c r="A2" s="5" t="inlineStr">
        <is>
          <t>The floor keeps you alive. The tiers decide how well you live. Adjust the multipliers to fit your market.</t>
        </is>
      </c>
    </row>
    <row r="3">
      <c r="C3" s="18" t="inlineStr">
        <is>
          <t>Multiplier (editable)</t>
        </is>
      </c>
    </row>
    <row r="4">
      <c r="A4" s="7" t="inlineStr">
        <is>
          <t>Floor rate (survival)</t>
        </is>
      </c>
      <c r="B4" s="19">
        <f>IF('Rate Calculator (SAMPLE)'!B12="","",'Rate Calculator (SAMPLE)'!B12)</f>
        <v/>
      </c>
      <c r="C4" s="20" t="inlineStr">
        <is>
          <t>× 1.0</t>
        </is>
      </c>
    </row>
    <row r="5">
      <c r="A5" s="7" t="inlineStr">
        <is>
          <t>Target rate (growth)</t>
        </is>
      </c>
      <c r="B5" s="19">
        <f>IF(B4="","",ROUND(B4*C5,2))</f>
        <v/>
      </c>
      <c r="C5" s="21" t="n">
        <v>1.5</v>
      </c>
    </row>
    <row r="6">
      <c r="A6" s="7" t="inlineStr">
        <is>
          <t>Premium rate (value)</t>
        </is>
      </c>
      <c r="B6" s="19">
        <f>IF(B4="","",ROUND(B4*C6,2))</f>
        <v/>
      </c>
      <c r="C6" s="21" t="n">
        <v>2</v>
      </c>
    </row>
    <row r="7"/>
    <row r="8">
      <c r="A8" s="6" t="inlineStr">
        <is>
          <t>WHEN TO USE EACH TIER</t>
        </is>
      </c>
    </row>
    <row r="9">
      <c r="A9" s="17" t="inlineStr">
        <is>
          <t>FLOOR — only to fill a genuinely empty calendar, or for work that earns a testimonial or a foot in the door. Never as your default.</t>
        </is>
      </c>
    </row>
    <row r="10"/>
    <row r="11">
      <c r="A11" s="17" t="inlineStr">
        <is>
          <t>TARGET — your standard rate for normal client work. The number you quote most days.</t>
        </is>
      </c>
    </row>
    <row r="12"/>
    <row r="13">
      <c r="A13" s="17" t="inlineStr">
        <is>
          <t>PREMIUM — rush jobs, weekend work, difficult clients, or work where your specific experience removes real risk. Here you are not selling hours; you are selling the years behind them.</t>
        </is>
      </c>
    </row>
    <row r="14"/>
    <row r="15"/>
    <row r="16">
      <c r="A16" s="6" t="inlineStr">
        <is>
          <t>PROJECT PRICE ESTIMATOR</t>
        </is>
      </c>
    </row>
    <row r="17">
      <c r="A17" s="7" t="inlineStr">
        <is>
          <t>Estimated hours for the project</t>
        </is>
      </c>
      <c r="B17" s="11" t="n">
        <v>30</v>
      </c>
    </row>
    <row r="18">
      <c r="A18" s="7" t="inlineStr">
        <is>
          <t>Floor price</t>
        </is>
      </c>
      <c r="B18" s="19">
        <f>IF(OR($B$17="",$B$17&lt;0,B4=""),"",ROUND($B$17*B4,2))</f>
        <v/>
      </c>
    </row>
    <row r="19">
      <c r="A19" s="7" t="inlineStr">
        <is>
          <t>Target price</t>
        </is>
      </c>
      <c r="B19" s="19">
        <f>IF(OR($B$17="",$B$17&lt;0,B5=""),"",ROUND($B$17*B5,2))</f>
        <v/>
      </c>
    </row>
    <row r="20">
      <c r="A20" s="7" t="inlineStr">
        <is>
          <t>Premium price</t>
        </is>
      </c>
      <c r="B20" s="19">
        <f>IF(OR($B$17="",$B$17&lt;0,B6=""),"",ROUND($B$17*B6,2))</f>
        <v/>
      </c>
    </row>
    <row r="21"/>
    <row r="22">
      <c r="A22" s="6" t="inlineStr">
        <is>
          <t>QUICK CHECK — is a quoted rate safe?</t>
        </is>
      </c>
    </row>
    <row r="23">
      <c r="A23" s="7" t="inlineStr">
        <is>
          <t>Rate you are thinking of quoting</t>
        </is>
      </c>
      <c r="B23" s="9" t="n">
        <v>50</v>
      </c>
    </row>
    <row r="24">
      <c r="A24" s="22">
        <f>IF(OR(B23="",B23&lt;0,B4=""),"",IF(B23&lt;B4,"BELOW FLOOR — you would lose money. Raise the rate or cut the scope.",IF(B23&lt;B5,"Above floor, below target — survivable, but the exception, not the rule.","At or above target — healthy. Quote it with confidence.")))</f>
        <v/>
      </c>
      <c r="E24">
        <f>IF(A24="","",IF(B23&lt;B4,0,IF(B23&lt;B5,1,2)))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2026-10-17T21:07:59+00:00Z</dcterms:created>
  <dcterms:modified xmlns:dcterms="http://purl.org/dc/terms/" xmlns:xsi="http://www.w3.org/2001/XMLSchema-instance" xsi:type="dcterms:W3CDTF">2026-10-17T21:07:59+00:00Z</dcterms:modified>
</cp:coreProperties>
</file>